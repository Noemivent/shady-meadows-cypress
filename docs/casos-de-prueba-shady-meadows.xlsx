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asos de prueba" sheetId="2" state="visible" r:id="rId2"/>
    <sheet name="Bugs (Trello)" sheetId="3" state="visible" r:id="rId3"/>
  </sheets>
  <definedNames>
    <definedName name="_xlnm._FilterDatabase" localSheetId="1" hidden="1">'Casos de prueba'!$A$1:$L$26</definedName>
    <definedName name="_xlnm._FilterDatabase" localSheetId="2" hidden="1">'Bugs (Trello)'!$A$1:$J$17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i val="1"/>
      <color rgb="000000FF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1" t="inlineStr">
        <is>
          <t>Challenge Cohorte I - 2026 · Shady Meadows B&amp;B (https://automationintesting.online)</t>
        </is>
      </c>
    </row>
    <row r="2">
      <c r="A2" s="2" t="inlineStr">
        <is>
          <t>Integrantes: (completar)   ·   Tablero Trello: (pegar link)</t>
        </is>
      </c>
    </row>
    <row r="4">
      <c r="A4" s="3" t="inlineStr">
        <is>
          <t>Métrica</t>
        </is>
      </c>
      <c r="B4" s="3" t="inlineStr">
        <is>
          <t>Valor</t>
        </is>
      </c>
    </row>
    <row r="5">
      <c r="A5" s="4" t="inlineStr">
        <is>
          <t>Total de casos</t>
        </is>
      </c>
      <c r="B5" s="4">
        <f>COUNTA('Casos de prueba'!A2:A500)</f>
        <v/>
      </c>
    </row>
    <row r="6">
      <c r="A6" s="4" t="inlineStr">
        <is>
          <t>Ejecutados</t>
        </is>
      </c>
      <c r="B6" s="4">
        <f>COUNTIF('Casos de prueba'!H2:H500,"S")</f>
        <v/>
      </c>
    </row>
    <row r="7">
      <c r="A7" s="4" t="inlineStr">
        <is>
          <t>OK</t>
        </is>
      </c>
      <c r="B7" s="4">
        <f>COUNTIF('Casos de prueba'!I2:I500,"OK")</f>
        <v/>
      </c>
    </row>
    <row r="8">
      <c r="A8" s="4" t="inlineStr">
        <is>
          <t>Fail</t>
        </is>
      </c>
      <c r="B8" s="4">
        <f>COUNTIF('Casos de prueba'!I2:I500,"Fail")</f>
        <v/>
      </c>
    </row>
    <row r="9">
      <c r="A9" s="4" t="inlineStr">
        <is>
          <t>Blocked</t>
        </is>
      </c>
      <c r="B9" s="4">
        <f>COUNTIF('Casos de prueba'!I2:I500,"Blocked")</f>
        <v/>
      </c>
    </row>
    <row r="10">
      <c r="A10" s="4" t="inlineStr">
        <is>
          <t>% OK sobre ejecutados</t>
        </is>
      </c>
      <c r="B10" s="5">
        <f>IFERROR(B7/B6,0)</f>
        <v/>
      </c>
    </row>
    <row r="11">
      <c r="A11" s="4" t="inlineStr">
        <is>
          <t>Positivos</t>
        </is>
      </c>
      <c r="B11" s="4">
        <f>COUNTIF('Casos de prueba'!C2:C500,"Positivo")</f>
        <v/>
      </c>
    </row>
    <row r="12">
      <c r="A12" s="4" t="inlineStr">
        <is>
          <t>Negativos</t>
        </is>
      </c>
      <c r="B12" s="4">
        <f>COUNTIF('Casos de prueba'!C2:C500,"Negativo")</f>
        <v/>
      </c>
    </row>
    <row r="13">
      <c r="A13" s="4" t="inlineStr">
        <is>
          <t>Borde</t>
        </is>
      </c>
      <c r="B13" s="4">
        <f>COUNTIF('Casos de prueba'!C2:C500,"Borde")</f>
        <v/>
      </c>
    </row>
    <row r="14">
      <c r="A14" s="4" t="inlineStr">
        <is>
          <t>Automatizados en Cypress</t>
        </is>
      </c>
      <c r="B14" s="4">
        <f>COUNTIF('Casos de prueba'!L2:L500,"Sí*")</f>
        <v/>
      </c>
    </row>
    <row r="15">
      <c r="A15" s="4" t="inlineStr">
        <is>
          <t>Bugs reportados</t>
        </is>
      </c>
      <c r="B15" s="4">
        <f>COUNTA('Bugs (Trello)'!A2:A500)</f>
        <v/>
      </c>
    </row>
    <row r="17">
      <c r="A17" s="6" t="inlineStr">
        <is>
          <t>Leyenda: en "Casos de prueba" editar Resultado obtenido, Ejecutado, Estado, Observaciones y Ticket Trello (pegar el link de la tarjeta). El resumen se recalcula solo.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3" customWidth="1" min="3" max="3"/>
    <col width="30" customWidth="1" min="4" max="4"/>
    <col width="42" customWidth="1" min="5" max="5"/>
    <col width="36" customWidth="1" min="6" max="6"/>
    <col width="36" customWidth="1" min="7" max="7"/>
    <col width="10" customWidth="1" min="8" max="8"/>
    <col width="13" customWidth="1" min="9" max="9"/>
    <col width="28" customWidth="1" min="10" max="10"/>
    <col width="12" customWidth="1" min="11" max="11"/>
    <col width="22" customWidth="1" min="12" max="12"/>
  </cols>
  <sheetData>
    <row r="1" ht="30" customHeight="1">
      <c r="A1" s="7" t="inlineStr">
        <is>
          <t>ID</t>
        </is>
      </c>
      <c r="B1" s="7" t="inlineStr">
        <is>
          <t>Módulo</t>
        </is>
      </c>
      <c r="C1" s="7" t="inlineStr">
        <is>
          <t>Tipo (Positivo / Negativo / Borde)</t>
        </is>
      </c>
      <c r="D1" s="7" t="inlineStr">
        <is>
          <t>Descripción</t>
        </is>
      </c>
      <c r="E1" s="7" t="inlineStr">
        <is>
          <t>Pasos</t>
        </is>
      </c>
      <c r="F1" s="7" t="inlineStr">
        <is>
          <t>Resultado esperado</t>
        </is>
      </c>
      <c r="G1" s="7" t="inlineStr">
        <is>
          <t>Resultado obtenido</t>
        </is>
      </c>
      <c r="H1" s="7" t="inlineStr">
        <is>
          <t>Ejecutado S/N</t>
        </is>
      </c>
      <c r="I1" s="7" t="inlineStr">
        <is>
          <t>Estado (OK / Fail / Blocked)</t>
        </is>
      </c>
      <c r="J1" s="7" t="inlineStr">
        <is>
          <t>Observaciones</t>
        </is>
      </c>
      <c r="K1" s="7" t="inlineStr">
        <is>
          <t>Ticket Trello</t>
        </is>
      </c>
      <c r="L1" s="7" t="inlineStr">
        <is>
          <t>Automatización</t>
        </is>
      </c>
    </row>
    <row r="2">
      <c r="A2" s="8" t="inlineStr">
        <is>
          <t>TC-01</t>
        </is>
      </c>
      <c r="B2" s="8" t="inlineStr">
        <is>
          <t>Home</t>
        </is>
      </c>
      <c r="C2" s="8" t="inlineStr">
        <is>
          <t>Positivo</t>
        </is>
      </c>
      <c r="D2" s="8" t="inlineStr">
        <is>
          <t>Ver habitaciones disponibles en la página principal</t>
        </is>
      </c>
      <c r="E2" s="8" t="inlineStr">
        <is>
          <t>1. Abrir https://automationintesting.online
2. Ir a la sección "Our Rooms"</t>
        </is>
      </c>
      <c r="F2" s="8" t="inlineStr">
        <is>
          <t>Se listan las habitaciones con nombre, descripción, precio y botón "Book now"; coinciden con GET /api/room</t>
        </is>
      </c>
      <c r="G2" s="8" t="inlineStr">
        <is>
          <t>Se listan 3 habitaciones (Single, Double, Suite) con precio y botón "Book now"; coinciden con la API</t>
        </is>
      </c>
      <c r="H2" s="8" t="inlineStr">
        <is>
          <t>S</t>
        </is>
      </c>
      <c r="I2" s="8" t="inlineStr">
        <is>
          <t>OK</t>
        </is>
      </c>
      <c r="J2" s="8" t="inlineStr"/>
      <c r="K2" s="8" t="inlineStr"/>
      <c r="L2" s="8" t="inlineStr">
        <is>
          <t>Sí - Cypress (myTestRestfulBooker.cy.js)</t>
        </is>
      </c>
    </row>
    <row r="3">
      <c r="A3" s="8" t="inlineStr">
        <is>
          <t>TC-02</t>
        </is>
      </c>
      <c r="B3" s="8" t="inlineStr">
        <is>
          <t>Reservas</t>
        </is>
      </c>
      <c r="C3" s="8" t="inlineStr">
        <is>
          <t>Positivo</t>
        </is>
      </c>
      <c r="D3" s="8" t="inlineStr">
        <is>
          <t>Reserva exitosa como usuario invitado</t>
        </is>
      </c>
      <c r="E3" s="8" t="inlineStr">
        <is>
          <t>1. En la home, click en "Book now" de una habitación
2. Click en "Reserve Now"
3. Completar nombre, apellido, email, teléfono
4. Click en "Reserve Now"</t>
        </is>
      </c>
      <c r="F3" s="8" t="inlineStr">
        <is>
          <t>Se muestra "Booking Confirmed" con las fechas reservadas</t>
        </is>
      </c>
      <c r="G3" s="8" t="inlineStr">
        <is>
          <t>La página /reservation/{id} se muestra en blanco: GET /api/room/{id} responde 500</t>
        </is>
      </c>
      <c r="H3" s="8" t="inlineStr">
        <is>
          <t>S</t>
        </is>
      </c>
      <c r="I3" s="8" t="inlineStr">
        <is>
          <t>Blocked</t>
        </is>
      </c>
      <c r="J3" s="8" t="inlineStr">
        <is>
          <t>Bloqueado por BUG-01</t>
        </is>
      </c>
      <c r="K3" s="8" t="inlineStr">
        <is>
          <t>BUG-01</t>
        </is>
      </c>
      <c r="L3" s="8" t="inlineStr">
        <is>
          <t>Sí - Cypress (myTestRestfulBooker.cy.js)</t>
        </is>
      </c>
    </row>
    <row r="4">
      <c r="A4" s="8" t="inlineStr">
        <is>
          <t>TC-03</t>
        </is>
      </c>
      <c r="B4" s="8" t="inlineStr">
        <is>
          <t>Reservas</t>
        </is>
      </c>
      <c r="C4" s="8" t="inlineStr">
        <is>
          <t>Negativo</t>
        </is>
      </c>
      <c r="D4" s="8" t="inlineStr">
        <is>
          <t>Enviar el formulario de reserva vacío</t>
        </is>
      </c>
      <c r="E4" s="8" t="inlineStr">
        <is>
          <t>1. Abrir /reservation/1 con fechas futuras
2. Click "Reserve Now"
3. Sin completar campos, click "Reserve Now"</t>
        </is>
      </c>
      <c r="F4" s="8" t="inlineStr">
        <is>
          <t>Se muestran errores por cada campo obligatorio y no se crea la reserva</t>
        </is>
      </c>
      <c r="G4" s="8" t="inlineStr">
        <is>
          <t>No se puede abrir el formulario (página en blanco)</t>
        </is>
      </c>
      <c r="H4" s="8" t="inlineStr">
        <is>
          <t>S</t>
        </is>
      </c>
      <c r="I4" s="8" t="inlineStr">
        <is>
          <t>Blocked</t>
        </is>
      </c>
      <c r="J4" s="8" t="inlineStr">
        <is>
          <t>Bloqueado por BUG-01</t>
        </is>
      </c>
      <c r="K4" s="8" t="inlineStr">
        <is>
          <t>BUG-01</t>
        </is>
      </c>
      <c r="L4" s="8" t="inlineStr">
        <is>
          <t>Sí - Cypress (myTestRestfulBooker.cy.js)</t>
        </is>
      </c>
    </row>
    <row r="5">
      <c r="A5" s="8" t="inlineStr">
        <is>
          <t>TC-04</t>
        </is>
      </c>
      <c r="B5" s="8" t="inlineStr">
        <is>
          <t>Contacto</t>
        </is>
      </c>
      <c r="C5" s="8" t="inlineStr">
        <is>
          <t>Positivo</t>
        </is>
      </c>
      <c r="D5" s="8" t="inlineStr">
        <is>
          <t>Enviar formulario de contacto con datos válidos</t>
        </is>
      </c>
      <c r="E5" s="8" t="inlineStr">
        <is>
          <t>1. Ir a la sección Contact
2. Completar Name, Email, Phone (11 dígitos), Subject y Message
3. Click "Submit"</t>
        </is>
      </c>
      <c r="F5" s="8" t="inlineStr">
        <is>
          <t>Se muestra "Thanks for getting in touch {nombre}!" con el asunto; POST /api/message responde 200</t>
        </is>
      </c>
      <c r="G5" s="8" t="inlineStr">
        <is>
          <t>Se muestra la confirmación con nombre y asunto; API 200</t>
        </is>
      </c>
      <c r="H5" s="8" t="inlineStr">
        <is>
          <t>S</t>
        </is>
      </c>
      <c r="I5" s="8" t="inlineStr">
        <is>
          <t>OK</t>
        </is>
      </c>
      <c r="J5" s="8" t="inlineStr"/>
      <c r="K5" s="8" t="inlineStr"/>
      <c r="L5" s="8" t="inlineStr">
        <is>
          <t>Sí - Cypress (myTestRestfulBooker.cy.js)</t>
        </is>
      </c>
    </row>
    <row r="6">
      <c r="A6" s="8" t="inlineStr">
        <is>
          <t>TC-05</t>
        </is>
      </c>
      <c r="B6" s="8" t="inlineStr">
        <is>
          <t>Contacto</t>
        </is>
      </c>
      <c r="C6" s="8" t="inlineStr">
        <is>
          <t>Negativo</t>
        </is>
      </c>
      <c r="D6" s="8" t="inlineStr">
        <is>
          <t>Enviar formulario de contacto vacío</t>
        </is>
      </c>
      <c r="E6" s="8" t="inlineStr">
        <is>
          <t>1. Ir a Contact
2. Click "Submit" sin completar campos</t>
        </is>
      </c>
      <c r="F6" s="8" t="inlineStr">
        <is>
          <t>Se muestran los errores de todos los campos obligatorios; no se envía el mensaje</t>
        </is>
      </c>
      <c r="G6" s="8" t="inlineStr">
        <is>
          <t>API 400 con 10 mensajes de error (Name, Email, Phone, Subject, Message)</t>
        </is>
      </c>
      <c r="H6" s="8" t="inlineStr">
        <is>
          <t>S</t>
        </is>
      </c>
      <c r="I6" s="8" t="inlineStr">
        <is>
          <t>OK</t>
        </is>
      </c>
      <c r="J6" s="8" t="inlineStr">
        <is>
          <t>Los mensajes se muestran en orden aleatorio</t>
        </is>
      </c>
      <c r="K6" s="8" t="inlineStr"/>
      <c r="L6" s="8" t="inlineStr">
        <is>
          <t>Candidato (API)</t>
        </is>
      </c>
    </row>
    <row r="7">
      <c r="A7" s="8" t="inlineStr">
        <is>
          <t>TC-06</t>
        </is>
      </c>
      <c r="B7" s="8" t="inlineStr">
        <is>
          <t>Contacto</t>
        </is>
      </c>
      <c r="C7" s="8" t="inlineStr">
        <is>
          <t>Borde</t>
        </is>
      </c>
      <c r="D7" s="8" t="inlineStr">
        <is>
          <t>Teléfono con 10 caracteres (mínimo - 1)</t>
        </is>
      </c>
      <c r="E7" s="8" t="inlineStr">
        <is>
          <t>1. Completar contacto válido con Phone = 0123456789
2. Submit</t>
        </is>
      </c>
      <c r="F7" s="8" t="inlineStr">
        <is>
          <t>Error "Phone must be between 11 and 21 characters."</t>
        </is>
      </c>
      <c r="G7" s="8" t="inlineStr">
        <is>
          <t>API 400 con el mensaje esperado</t>
        </is>
      </c>
      <c r="H7" s="8" t="inlineStr">
        <is>
          <t>S</t>
        </is>
      </c>
      <c r="I7" s="8" t="inlineStr">
        <is>
          <t>OK</t>
        </is>
      </c>
      <c r="J7" s="8" t="inlineStr"/>
      <c r="K7" s="8" t="inlineStr"/>
      <c r="L7" s="8" t="inlineStr">
        <is>
          <t>Candidato (API)</t>
        </is>
      </c>
    </row>
    <row r="8">
      <c r="A8" s="8" t="inlineStr">
        <is>
          <t>TC-07</t>
        </is>
      </c>
      <c r="B8" s="8" t="inlineStr">
        <is>
          <t>Contacto</t>
        </is>
      </c>
      <c r="C8" s="8" t="inlineStr">
        <is>
          <t>Borde</t>
        </is>
      </c>
      <c r="D8" s="8" t="inlineStr">
        <is>
          <t>Teléfono con 11 caracteres (mínimo exacto)</t>
        </is>
      </c>
      <c r="E8" s="8" t="inlineStr">
        <is>
          <t>1. Completar contacto válido con Phone = 01234567890
2. Submit</t>
        </is>
      </c>
      <c r="F8" s="8" t="inlineStr">
        <is>
          <t>Mensaje enviado correctamente</t>
        </is>
      </c>
      <c r="G8" s="8" t="inlineStr">
        <is>
          <t>API 200 {"success":true}</t>
        </is>
      </c>
      <c r="H8" s="8" t="inlineStr">
        <is>
          <t>S</t>
        </is>
      </c>
      <c r="I8" s="8" t="inlineStr">
        <is>
          <t>OK</t>
        </is>
      </c>
      <c r="J8" s="8" t="inlineStr"/>
      <c r="K8" s="8" t="inlineStr"/>
      <c r="L8" s="8" t="inlineStr">
        <is>
          <t>Candidato (API)</t>
        </is>
      </c>
    </row>
    <row r="9">
      <c r="A9" s="8" t="inlineStr">
        <is>
          <t>TC-08</t>
        </is>
      </c>
      <c r="B9" s="8" t="inlineStr">
        <is>
          <t>Contacto</t>
        </is>
      </c>
      <c r="C9" s="8" t="inlineStr">
        <is>
          <t>Borde</t>
        </is>
      </c>
      <c r="D9" s="8" t="inlineStr">
        <is>
          <t>Asunto de 4 caracteres (mínimo - 1)</t>
        </is>
      </c>
      <c r="E9" s="8" t="inlineStr">
        <is>
          <t>1. Completar contacto válido con Subject = "Hola"
2. Submit</t>
        </is>
      </c>
      <c r="F9" s="8" t="inlineStr">
        <is>
          <t>Error "Subject must be between 5 and 100 characters."</t>
        </is>
      </c>
      <c r="G9" s="8" t="inlineStr">
        <is>
          <t>API 400 con el mensaje esperado</t>
        </is>
      </c>
      <c r="H9" s="8" t="inlineStr">
        <is>
          <t>S</t>
        </is>
      </c>
      <c r="I9" s="8" t="inlineStr">
        <is>
          <t>OK</t>
        </is>
      </c>
      <c r="J9" s="8" t="inlineStr"/>
      <c r="K9" s="8" t="inlineStr"/>
      <c r="L9" s="8" t="inlineStr">
        <is>
          <t>Candidato (API)</t>
        </is>
      </c>
    </row>
    <row r="10">
      <c r="A10" s="8" t="inlineStr">
        <is>
          <t>TC-09</t>
        </is>
      </c>
      <c r="B10" s="8" t="inlineStr">
        <is>
          <t>Contacto</t>
        </is>
      </c>
      <c r="C10" s="8" t="inlineStr">
        <is>
          <t>Borde</t>
        </is>
      </c>
      <c r="D10" s="8" t="inlineStr">
        <is>
          <t>Mensaje de 19 caracteres (mínimo - 1)</t>
        </is>
      </c>
      <c r="E10" s="8" t="inlineStr">
        <is>
          <t>1. Completar contacto válido con Message de 19 caracteres
2. Submit</t>
        </is>
      </c>
      <c r="F10" s="8" t="inlineStr">
        <is>
          <t>Error "Message must be between 20 and 2000 characters."</t>
        </is>
      </c>
      <c r="G10" s="8" t="inlineStr">
        <is>
          <t>API 400 con el mensaje esperado</t>
        </is>
      </c>
      <c r="H10" s="8" t="inlineStr">
        <is>
          <t>S</t>
        </is>
      </c>
      <c r="I10" s="8" t="inlineStr">
        <is>
          <t>OK</t>
        </is>
      </c>
      <c r="J10" s="8" t="inlineStr"/>
      <c r="K10" s="8" t="inlineStr"/>
      <c r="L10" s="8" t="inlineStr">
        <is>
          <t>Candidato (API)</t>
        </is>
      </c>
    </row>
    <row r="11">
      <c r="A11" s="8" t="inlineStr">
        <is>
          <t>TC-10</t>
        </is>
      </c>
      <c r="B11" s="8" t="inlineStr">
        <is>
          <t>Contacto</t>
        </is>
      </c>
      <c r="C11" s="8" t="inlineStr">
        <is>
          <t>Borde</t>
        </is>
      </c>
      <c r="D11" s="8" t="inlineStr">
        <is>
          <t>Nombre de 300 caracteres</t>
        </is>
      </c>
      <c r="E11" s="8" t="inlineStr">
        <is>
          <t>1. Completar contacto válido con Name de 300 letras "A"
2. Submit</t>
        </is>
      </c>
      <c r="F11" s="8" t="inlineStr">
        <is>
          <t>Error de validación indicando longitud máxima del nombre (400)</t>
        </is>
      </c>
      <c r="G11" s="8" t="inlineStr">
        <is>
          <t>API 500 {"error":"Failed to create message"}</t>
        </is>
      </c>
      <c r="H11" s="8" t="inlineStr">
        <is>
          <t>S</t>
        </is>
      </c>
      <c r="I11" s="8" t="inlineStr">
        <is>
          <t>Fail</t>
        </is>
      </c>
      <c r="J11" s="8" t="inlineStr">
        <is>
          <t>Con 100 caracteres sí lo acepta: falta validación de longitud</t>
        </is>
      </c>
      <c r="K11" s="8" t="inlineStr">
        <is>
          <t>BUG-12</t>
        </is>
      </c>
      <c r="L11" s="8" t="inlineStr">
        <is>
          <t>Candidato (API)</t>
        </is>
      </c>
    </row>
    <row r="12">
      <c r="A12" s="8" t="inlineStr">
        <is>
          <t>TC-11</t>
        </is>
      </c>
      <c r="B12" s="8" t="inlineStr">
        <is>
          <t>Contacto</t>
        </is>
      </c>
      <c r="C12" s="8" t="inlineStr">
        <is>
          <t>Negativo</t>
        </is>
      </c>
      <c r="D12" s="8" t="inlineStr">
        <is>
          <t>Teléfono con letras</t>
        </is>
      </c>
      <c r="E12" s="8" t="inlineStr">
        <is>
          <t>1. Completar contacto válido con Phone = abcdefghijk
2. Submit</t>
        </is>
      </c>
      <c r="F12" s="8" t="inlineStr">
        <is>
          <t>Error de formato de teléfono</t>
        </is>
      </c>
      <c r="G12" s="8" t="inlineStr">
        <is>
          <t>Mensaje aceptado (200) y se muestra la confirmación</t>
        </is>
      </c>
      <c r="H12" s="8" t="inlineStr">
        <is>
          <t>S</t>
        </is>
      </c>
      <c r="I12" s="8" t="inlineStr">
        <is>
          <t>Fail</t>
        </is>
      </c>
      <c r="J12" s="8" t="inlineStr"/>
      <c r="K12" s="8" t="inlineStr">
        <is>
          <t>BUG-13</t>
        </is>
      </c>
      <c r="L12" s="8" t="inlineStr">
        <is>
          <t>Candidato (API)</t>
        </is>
      </c>
    </row>
    <row r="13">
      <c r="A13" s="8" t="inlineStr">
        <is>
          <t>TC-12</t>
        </is>
      </c>
      <c r="B13" s="8" t="inlineStr">
        <is>
          <t>Contacto</t>
        </is>
      </c>
      <c r="C13" s="8" t="inlineStr">
        <is>
          <t>Negativo</t>
        </is>
      </c>
      <c r="D13" s="8" t="inlineStr">
        <is>
          <t>Email sin dominio completo y nombre de 1 carácter</t>
        </is>
      </c>
      <c r="E13" s="8" t="inlineStr">
        <is>
          <t>1. Completar contacto con Name = "A" y Email = "a@b"
2. Submit</t>
        </is>
      </c>
      <c r="F13" s="8" t="inlineStr">
        <is>
          <t>Errores de validación en nombre y email</t>
        </is>
      </c>
      <c r="G13" s="8" t="inlineStr">
        <is>
          <t>Mensaje aceptado (200)</t>
        </is>
      </c>
      <c r="H13" s="8" t="inlineStr">
        <is>
          <t>S</t>
        </is>
      </c>
      <c r="I13" s="8" t="inlineStr">
        <is>
          <t>Fail</t>
        </is>
      </c>
      <c r="J13" s="8" t="inlineStr">
        <is>
          <t>"ana@@test" sí se rechaza</t>
        </is>
      </c>
      <c r="K13" s="8" t="inlineStr">
        <is>
          <t>BUG-14</t>
        </is>
      </c>
      <c r="L13" s="8" t="inlineStr">
        <is>
          <t>Candidato (API)</t>
        </is>
      </c>
    </row>
    <row r="14">
      <c r="A14" s="8" t="inlineStr">
        <is>
          <t>TC-13</t>
        </is>
      </c>
      <c r="B14" s="8" t="inlineStr">
        <is>
          <t>Disponibilidad</t>
        </is>
      </c>
      <c r="C14" s="8" t="inlineStr">
        <is>
          <t>Negativo</t>
        </is>
      </c>
      <c r="D14" s="8" t="inlineStr">
        <is>
          <t>Check availability con checkout anterior al checkin</t>
        </is>
      </c>
      <c r="E14" s="8" t="inlineStr">
        <is>
          <t>1. En la home, Check In 20/11/2026 y Check Out 10/11/2026
2. Click "Check Availability"</t>
        </is>
      </c>
      <c r="F14" s="8" t="inlineStr">
        <is>
          <t>Mensaje de error y no se ofrecen habitaciones</t>
        </is>
      </c>
      <c r="G14" s="8" t="inlineStr">
        <is>
          <t>No hay mensaje; se listan habitaciones con enlaces de fechas invertidas</t>
        </is>
      </c>
      <c r="H14" s="8" t="inlineStr">
        <is>
          <t>S</t>
        </is>
      </c>
      <c r="I14" s="8" t="inlineStr">
        <is>
          <t>Fail</t>
        </is>
      </c>
      <c r="J14" s="8" t="inlineStr">
        <is>
          <t>También pasa con fechas pasadas o iguales</t>
        </is>
      </c>
      <c r="K14" s="8" t="inlineStr">
        <is>
          <t>BUG-07</t>
        </is>
      </c>
      <c r="L14" s="8" t="inlineStr">
        <is>
          <t>Candidato (UI)</t>
        </is>
      </c>
    </row>
    <row r="15">
      <c r="A15" s="8" t="inlineStr">
        <is>
          <t>TC-14</t>
        </is>
      </c>
      <c r="B15" s="8" t="inlineStr">
        <is>
          <t>Disponibilidad</t>
        </is>
      </c>
      <c r="C15" s="8" t="inlineStr">
        <is>
          <t>Negativo</t>
        </is>
      </c>
      <c r="D15" s="8" t="inlineStr">
        <is>
          <t>Disponibilidad excluye habitaciones ya reservadas</t>
        </is>
      </c>
      <c r="E15" s="8" t="inlineStr">
        <is>
          <t>1. Reservar habitación 1 del 2027-03-10 al 2027-03-12
2. GET /api/room?checkin=2027-03-10&amp;checkout=2027-03-12</t>
        </is>
      </c>
      <c r="F15" s="8" t="inlineStr">
        <is>
          <t>La habitación 1 no aparece como disponible</t>
        </is>
      </c>
      <c r="G15" s="8" t="inlineStr">
        <is>
          <t>Devuelve las 3 habitaciones, incluida la 1 (reservarla de nuevo da 409)</t>
        </is>
      </c>
      <c r="H15" s="8" t="inlineStr">
        <is>
          <t>S</t>
        </is>
      </c>
      <c r="I15" s="8" t="inlineStr">
        <is>
          <t>Fail</t>
        </is>
      </c>
      <c r="J15" s="8" t="inlineStr"/>
      <c r="K15" s="8" t="inlineStr">
        <is>
          <t>BUG-03</t>
        </is>
      </c>
      <c r="L15" s="8" t="inlineStr">
        <is>
          <t>Candidato (API)</t>
        </is>
      </c>
    </row>
    <row r="16">
      <c r="A16" s="8" t="inlineStr">
        <is>
          <t>TC-15</t>
        </is>
      </c>
      <c r="B16" s="8" t="inlineStr">
        <is>
          <t>Disponibilidad</t>
        </is>
      </c>
      <c r="C16" s="8" t="inlineStr">
        <is>
          <t>Negativo</t>
        </is>
      </c>
      <c r="D16" s="8" t="inlineStr">
        <is>
          <t>Fechas no válidas en la consulta de disponibilidad</t>
        </is>
      </c>
      <c r="E16" s="8" t="inlineStr">
        <is>
          <t>1. GET /api/room?checkin=foo&amp;checkout=bar</t>
        </is>
      </c>
      <c r="F16" s="8" t="inlineStr">
        <is>
          <t>400 Bad Request</t>
        </is>
      </c>
      <c r="G16" s="8" t="inlineStr">
        <is>
          <t>500 Internal Server Error</t>
        </is>
      </c>
      <c r="H16" s="8" t="inlineStr">
        <is>
          <t>S</t>
        </is>
      </c>
      <c r="I16" s="8" t="inlineStr">
        <is>
          <t>Fail</t>
        </is>
      </c>
      <c r="J16" s="8" t="inlineStr"/>
      <c r="K16" s="8" t="inlineStr">
        <is>
          <t>BUG-08</t>
        </is>
      </c>
      <c r="L16" s="8" t="inlineStr">
        <is>
          <t>Candidato (API)</t>
        </is>
      </c>
    </row>
    <row r="17">
      <c r="A17" s="8" t="inlineStr">
        <is>
          <t>TC-16</t>
        </is>
      </c>
      <c r="B17" s="8" t="inlineStr">
        <is>
          <t>Reservas (API)</t>
        </is>
      </c>
      <c r="C17" s="8" t="inlineStr">
        <is>
          <t>Negativo</t>
        </is>
      </c>
      <c r="D17" s="8" t="inlineStr">
        <is>
          <t>Reservar una habitación inexistente</t>
        </is>
      </c>
      <c r="E17" s="8" t="inlineStr">
        <is>
          <t>1. POST /api/booking con roomid 999 y datos válidos</t>
        </is>
      </c>
      <c r="F17" s="8" t="inlineStr">
        <is>
          <t>400 o 404: la habitación no existe</t>
        </is>
      </c>
      <c r="G17" s="8" t="inlineStr">
        <is>
          <t>201: reserva creada con roomid 999</t>
        </is>
      </c>
      <c r="H17" s="8" t="inlineStr">
        <is>
          <t>S</t>
        </is>
      </c>
      <c r="I17" s="8" t="inlineStr">
        <is>
          <t>Fail</t>
        </is>
      </c>
      <c r="J17" s="8" t="inlineStr"/>
      <c r="K17" s="8" t="inlineStr">
        <is>
          <t>BUG-04</t>
        </is>
      </c>
      <c r="L17" s="8" t="inlineStr">
        <is>
          <t>Candidato (API)</t>
        </is>
      </c>
    </row>
    <row r="18">
      <c r="A18" s="8" t="inlineStr">
        <is>
          <t>TC-17</t>
        </is>
      </c>
      <c r="B18" s="8" t="inlineStr">
        <is>
          <t>Reservas (API)</t>
        </is>
      </c>
      <c r="C18" s="8" t="inlineStr">
        <is>
          <t>Negativo</t>
        </is>
      </c>
      <c r="D18" s="8" t="inlineStr">
        <is>
          <t>Reservar en fechas pasadas</t>
        </is>
      </c>
      <c r="E18" s="8" t="inlineStr">
        <is>
          <t>1. POST /api/booking con checkin 2020-01-10 y checkout 2020-01-12</t>
        </is>
      </c>
      <c r="F18" s="8" t="inlineStr">
        <is>
          <t>400: no se permiten fechas pasadas</t>
        </is>
      </c>
      <c r="G18" s="8" t="inlineStr">
        <is>
          <t>201: reserva creada</t>
        </is>
      </c>
      <c r="H18" s="8" t="inlineStr">
        <is>
          <t>S</t>
        </is>
      </c>
      <c r="I18" s="8" t="inlineStr">
        <is>
          <t>Fail</t>
        </is>
      </c>
      <c r="J18" s="8" t="inlineStr"/>
      <c r="K18" s="8" t="inlineStr">
        <is>
          <t>BUG-05</t>
        </is>
      </c>
      <c r="L18" s="8" t="inlineStr">
        <is>
          <t>Candidato (API)</t>
        </is>
      </c>
    </row>
    <row r="19">
      <c r="A19" s="8" t="inlineStr">
        <is>
          <t>TC-18</t>
        </is>
      </c>
      <c r="B19" s="8" t="inlineStr">
        <is>
          <t>Reservas (API)</t>
        </is>
      </c>
      <c r="C19" s="8" t="inlineStr">
        <is>
          <t>Borde</t>
        </is>
      </c>
      <c r="D19" s="8" t="inlineStr">
        <is>
          <t>Checkout igual o anterior al checkin</t>
        </is>
      </c>
      <c r="E19" s="8" t="inlineStr">
        <is>
          <t>1. POST /api/booking con checkin = checkout
2. Repetir con checkout anterior al checkin</t>
        </is>
      </c>
      <c r="F19" s="8" t="inlineStr">
        <is>
          <t>400 con mensaje de validación de fechas</t>
        </is>
      </c>
      <c r="G19" s="8" t="inlineStr">
        <is>
          <t>409 "Failed to create booking" (mismo error que una reserva duplicada)</t>
        </is>
      </c>
      <c r="H19" s="8" t="inlineStr">
        <is>
          <t>S</t>
        </is>
      </c>
      <c r="I19" s="8" t="inlineStr">
        <is>
          <t>Fail</t>
        </is>
      </c>
      <c r="J19" s="8" t="inlineStr"/>
      <c r="K19" s="8" t="inlineStr">
        <is>
          <t>BUG-06</t>
        </is>
      </c>
      <c r="L19" s="8" t="inlineStr">
        <is>
          <t>Candidato (API)</t>
        </is>
      </c>
    </row>
    <row r="20">
      <c r="A20" s="8" t="inlineStr">
        <is>
          <t>TC-19</t>
        </is>
      </c>
      <c r="B20" s="8" t="inlineStr">
        <is>
          <t>Reservas (API)</t>
        </is>
      </c>
      <c r="C20" s="8" t="inlineStr">
        <is>
          <t>Borde</t>
        </is>
      </c>
      <c r="D20" s="8" t="inlineStr">
        <is>
          <t>Teléfono de 10 caracteres en la reserva</t>
        </is>
      </c>
      <c r="E20" s="8" t="inlineStr">
        <is>
          <t>1. POST /api/booking con phone = 0123456789</t>
        </is>
      </c>
      <c r="F20" s="8" t="inlineStr">
        <is>
          <t>400 "size must be between 11 and 21"</t>
        </is>
      </c>
      <c r="G20" s="8" t="inlineStr">
        <is>
          <t>400 con el mensaje esperado</t>
        </is>
      </c>
      <c r="H20" s="8" t="inlineStr">
        <is>
          <t>S</t>
        </is>
      </c>
      <c r="I20" s="8" t="inlineStr">
        <is>
          <t>OK</t>
        </is>
      </c>
      <c r="J20" s="8" t="inlineStr">
        <is>
          <t>El mensaje no indica el campo (ver BUG-11)</t>
        </is>
      </c>
      <c r="K20" s="8" t="inlineStr"/>
      <c r="L20" s="8" t="inlineStr">
        <is>
          <t>Candidato (API)</t>
        </is>
      </c>
    </row>
    <row r="21">
      <c r="A21" s="8" t="inlineStr">
        <is>
          <t>TC-20</t>
        </is>
      </c>
      <c r="B21" s="8" t="inlineStr">
        <is>
          <t>Reservas (API)</t>
        </is>
      </c>
      <c r="C21" s="8" t="inlineStr">
        <is>
          <t>Negativo</t>
        </is>
      </c>
      <c r="D21" s="8" t="inlineStr">
        <is>
          <t>Email con formato inválido en la reserva</t>
        </is>
      </c>
      <c r="E21" s="8" t="inlineStr">
        <is>
          <t>1. POST /api/booking con email = no-es-email</t>
        </is>
      </c>
      <c r="F21" s="8" t="inlineStr">
        <is>
          <t>400 "must be a well-formed email address"</t>
        </is>
      </c>
      <c r="G21" s="8" t="inlineStr">
        <is>
          <t>400 con el mensaje esperado</t>
        </is>
      </c>
      <c r="H21" s="8" t="inlineStr">
        <is>
          <t>S</t>
        </is>
      </c>
      <c r="I21" s="8" t="inlineStr">
        <is>
          <t>OK</t>
        </is>
      </c>
      <c r="J21" s="8" t="inlineStr"/>
      <c r="K21" s="8" t="inlineStr"/>
      <c r="L21" s="8" t="inlineStr">
        <is>
          <t>Candidato (API)</t>
        </is>
      </c>
    </row>
    <row r="22">
      <c r="A22" s="8" t="inlineStr">
        <is>
          <t>TC-21</t>
        </is>
      </c>
      <c r="B22" s="8" t="inlineStr">
        <is>
          <t>Reservas (API)</t>
        </is>
      </c>
      <c r="C22" s="8" t="inlineStr">
        <is>
          <t>Negativo</t>
        </is>
      </c>
      <c r="D22" s="8" t="inlineStr">
        <is>
          <t>Teléfono con letras en la reserva</t>
        </is>
      </c>
      <c r="E22" s="8" t="inlineStr">
        <is>
          <t>1. POST /api/booking con phone = abcdefghijkl</t>
        </is>
      </c>
      <c r="F22" s="8" t="inlineStr">
        <is>
          <t>400 por formato de teléfono</t>
        </is>
      </c>
      <c r="G22" s="8" t="inlineStr">
        <is>
          <t>201: reserva creada</t>
        </is>
      </c>
      <c r="H22" s="8" t="inlineStr">
        <is>
          <t>S</t>
        </is>
      </c>
      <c r="I22" s="8" t="inlineStr">
        <is>
          <t>Fail</t>
        </is>
      </c>
      <c r="J22" s="8" t="inlineStr">
        <is>
          <t>También guarda HTML en el nombre sin sanitizar</t>
        </is>
      </c>
      <c r="K22" s="8" t="inlineStr">
        <is>
          <t>BUG-10</t>
        </is>
      </c>
      <c r="L22" s="8" t="inlineStr">
        <is>
          <t>Candidato (API)</t>
        </is>
      </c>
    </row>
    <row r="23">
      <c r="A23" s="8" t="inlineStr">
        <is>
          <t>TC-22</t>
        </is>
      </c>
      <c r="B23" s="8" t="inlineStr">
        <is>
          <t>Reservas (API)</t>
        </is>
      </c>
      <c r="C23" s="8" t="inlineStr">
        <is>
          <t>Negativo</t>
        </is>
      </c>
      <c r="D23" s="8" t="inlineStr">
        <is>
          <t>Reserva sin el objeto bookingdates</t>
        </is>
      </c>
      <c r="E23" s="8" t="inlineStr">
        <is>
          <t>1. POST /api/booking sin bookingdates</t>
        </is>
      </c>
      <c r="F23" s="8" t="inlineStr">
        <is>
          <t>400 "bookingdates requerido"</t>
        </is>
      </c>
      <c r="G23" s="8" t="inlineStr">
        <is>
          <t>500 {"errors":["Failed to create booking"]}</t>
        </is>
      </c>
      <c r="H23" s="8" t="inlineStr">
        <is>
          <t>S</t>
        </is>
      </c>
      <c r="I23" s="8" t="inlineStr">
        <is>
          <t>Fail</t>
        </is>
      </c>
      <c r="J23" s="8" t="inlineStr"/>
      <c r="K23" s="8" t="inlineStr">
        <is>
          <t>BUG-09</t>
        </is>
      </c>
      <c r="L23" s="8" t="inlineStr">
        <is>
          <t>Candidato (API)</t>
        </is>
      </c>
    </row>
    <row r="24">
      <c r="A24" s="8" t="inlineStr">
        <is>
          <t>TC-23</t>
        </is>
      </c>
      <c r="B24" s="8" t="inlineStr">
        <is>
          <t>Navegación</t>
        </is>
      </c>
      <c r="C24" s="8" t="inlineStr">
        <is>
          <t>Positivo</t>
        </is>
      </c>
      <c r="D24" s="8" t="inlineStr">
        <is>
          <t>Link "Amenities" del menú</t>
        </is>
      </c>
      <c r="E24" s="8" t="inlineStr">
        <is>
          <t>1. En la home, click en "Amenities" del navbar</t>
        </is>
      </c>
      <c r="F24" s="8" t="inlineStr">
        <is>
          <t>Navega a la sección Amenities</t>
        </is>
      </c>
      <c r="G24" s="8" t="inlineStr">
        <is>
          <t>No ocurre nada: no existe la sección #amenities</t>
        </is>
      </c>
      <c r="H24" s="8" t="inlineStr">
        <is>
          <t>S</t>
        </is>
      </c>
      <c r="I24" s="8" t="inlineStr">
        <is>
          <t>Fail</t>
        </is>
      </c>
      <c r="J24" s="8" t="inlineStr"/>
      <c r="K24" s="8" t="inlineStr">
        <is>
          <t>BUG-15</t>
        </is>
      </c>
      <c r="L24" s="8" t="inlineStr">
        <is>
          <t>Candidato (UI)</t>
        </is>
      </c>
    </row>
    <row r="25">
      <c r="A25" s="8" t="inlineStr">
        <is>
          <t>TC-24</t>
        </is>
      </c>
      <c r="B25" s="8" t="inlineStr">
        <is>
          <t>Navegación</t>
        </is>
      </c>
      <c r="C25" s="8" t="inlineStr">
        <is>
          <t>Positivo</t>
        </is>
      </c>
      <c r="D25" s="8" t="inlineStr">
        <is>
          <t>Links del footer (Quick Links y redes sociales)</t>
        </is>
      </c>
      <c r="E25" s="8" t="inlineStr">
        <is>
          <t>1. En el footer, click en Home, Rooms, Booking, Contact y en los iconos sociales</t>
        </is>
      </c>
      <c r="F25" s="8" t="inlineStr">
        <is>
          <t>Cada link navega a su sección o red social</t>
        </is>
      </c>
      <c r="G25" s="8" t="inlineStr">
        <is>
          <t>Todos tienen href="#" y no navegan</t>
        </is>
      </c>
      <c r="H25" s="8" t="inlineStr">
        <is>
          <t>S</t>
        </is>
      </c>
      <c r="I25" s="8" t="inlineStr">
        <is>
          <t>Fail</t>
        </is>
      </c>
      <c r="J25" s="8" t="inlineStr"/>
      <c r="K25" s="8" t="inlineStr">
        <is>
          <t>BUG-16</t>
        </is>
      </c>
      <c r="L25" s="8" t="inlineStr">
        <is>
          <t>Candidato (UI)</t>
        </is>
      </c>
    </row>
    <row r="26">
      <c r="A26" s="8" t="inlineStr">
        <is>
          <t>TC-25</t>
        </is>
      </c>
      <c r="B26" s="8" t="inlineStr">
        <is>
          <t>General</t>
        </is>
      </c>
      <c r="C26" s="8" t="inlineStr">
        <is>
          <t>Positivo</t>
        </is>
      </c>
      <c r="D26" s="8" t="inlineStr">
        <is>
          <t>Carga de la página sin errores de consola</t>
        </is>
      </c>
      <c r="E26" s="8" t="inlineStr">
        <is>
          <t>1. Abrir la home con la consola del navegador abierta</t>
        </is>
      </c>
      <c r="F26" s="8" t="inlineStr">
        <is>
          <t>Sin errores en consola</t>
        </is>
      </c>
      <c r="G26" s="8" t="inlineStr">
        <is>
          <t>"Minified React error #418" (error de hidratación) en cada carga</t>
        </is>
      </c>
      <c r="H26" s="8" t="inlineStr">
        <is>
          <t>S</t>
        </is>
      </c>
      <c r="I26" s="8" t="inlineStr">
        <is>
          <t>Fail</t>
        </is>
      </c>
      <c r="J26" s="8" t="inlineStr">
        <is>
          <t>En Cypress se ignora solo este error en support/e2e.js</t>
        </is>
      </c>
      <c r="K26" s="8" t="inlineStr">
        <is>
          <t>BUG-02</t>
        </is>
      </c>
      <c r="L26" s="8" t="inlineStr">
        <is>
          <t>Sí - Cypress (manejo de uncaught:exception)</t>
        </is>
      </c>
    </row>
  </sheetData>
  <autoFilter ref="A1:L26"/>
  <conditionalFormatting sqref="I2:I76">
    <cfRule type="cellIs" priority="1" operator="equal" dxfId="0">
      <formula>"OK"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3">
    <dataValidation sqref="C2:C76" showDropDown="0" showInputMessage="0" showErrorMessage="0" allowBlank="1" type="list">
      <formula1>"Positivo,Negativo,Borde"</formula1>
    </dataValidation>
    <dataValidation sqref="H2:H76" showDropDown="0" showInputMessage="0" showErrorMessage="0" allowBlank="1" type="list">
      <formula1>"S,N"</formula1>
    </dataValidation>
    <dataValidation sqref="I2:I76" showDropDown="0" showInputMessage="0" showErrorMessage="0" allowBlank="1" type="list">
      <formula1>"OK,Fail,Blocked"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0" customWidth="1" min="2" max="2"/>
    <col width="16" customWidth="1" min="3" max="3"/>
    <col width="10" customWidth="1" min="4" max="4"/>
    <col width="13" customWidth="1" min="5" max="5"/>
    <col width="40" customWidth="1" min="6" max="6"/>
    <col width="42" customWidth="1" min="7" max="7"/>
    <col width="30" customWidth="1" min="8" max="8"/>
    <col width="40" customWidth="1" min="9" max="9"/>
    <col width="22" customWidth="1" min="10" max="10"/>
  </cols>
  <sheetData>
    <row r="1" ht="30" customHeight="1">
      <c r="A1" s="7" t="inlineStr">
        <is>
          <t>ID</t>
        </is>
      </c>
      <c r="B1" s="7" t="inlineStr">
        <is>
          <t>Título</t>
        </is>
      </c>
      <c r="C1" s="7" t="inlineStr">
        <is>
          <t>Módulo</t>
        </is>
      </c>
      <c r="D1" s="7" t="inlineStr">
        <is>
          <t>Severidad</t>
        </is>
      </c>
      <c r="E1" s="7" t="inlineStr">
        <is>
          <t>Prioridad</t>
        </is>
      </c>
      <c r="F1" s="7" t="inlineStr">
        <is>
          <t>Descripción</t>
        </is>
      </c>
      <c r="G1" s="7" t="inlineStr">
        <is>
          <t>Pasos para reproducir</t>
        </is>
      </c>
      <c r="H1" s="7" t="inlineStr">
        <is>
          <t>Resultado esperado</t>
        </is>
      </c>
      <c r="I1" s="7" t="inlineStr">
        <is>
          <t>Resultado actual</t>
        </is>
      </c>
      <c r="J1" s="7" t="inlineStr">
        <is>
          <t>Evidencia</t>
        </is>
      </c>
    </row>
    <row r="2">
      <c r="A2" s="8" t="inlineStr">
        <is>
          <t>BUG-01</t>
        </is>
      </c>
      <c r="B2" s="8" t="inlineStr">
        <is>
          <t>La página de reserva se muestra en blanco: GET /api/room/{id} responde 500</t>
        </is>
      </c>
      <c r="C2" s="8" t="inlineStr">
        <is>
          <t>Reservas / API</t>
        </is>
      </c>
      <c r="D2" s="8" t="inlineStr">
        <is>
          <t>Crítica</t>
        </is>
      </c>
      <c r="E2" s="8" t="inlineStr">
        <is>
          <t>P1 - Urgente</t>
        </is>
      </c>
      <c r="F2" s="8" t="inlineStr">
        <is>
          <t>Al abrir el detalle de cualquier habitación el backend responde 500 y el frontend no puede renderizar el formulario de reserva. Bloquea todo el flujo de reserva desde la UI.</t>
        </is>
      </c>
      <c r="G2" s="8" t="inlineStr">
        <is>
          <t>1. Abrir https://automationintesting.online
2. Click en "Book now" de cualquier habitación
(o: curl https://automationintesting.online/api/room/1)</t>
        </is>
      </c>
      <c r="H2" s="8" t="inlineStr">
        <is>
          <t>Se muestra la habitación, el calendario y el botón "Reserve Now"</t>
        </is>
      </c>
      <c r="I2" s="8" t="inlineStr">
        <is>
          <t>Página en blanco. API 500 "Internal Server Error"; consola: SyntaxError Unexpected token 'I', "Internal S"... is not valid JSON. Visto el 30/10/2026 entre 01:00 y 01:40 UTC</t>
        </is>
      </c>
      <c r="J2" s="8" t="inlineStr">
        <is>
          <t>Adjuntar captura en la tarjeta de Trello</t>
        </is>
      </c>
    </row>
    <row r="3">
      <c r="A3" s="8" t="inlineStr">
        <is>
          <t>BUG-02</t>
        </is>
      </c>
      <c r="B3" s="8" t="inlineStr">
        <is>
          <t>Error de React #418 (hidratación) en cada carga de página</t>
        </is>
      </c>
      <c r="C3" s="8" t="inlineStr">
        <is>
          <t>General / Frontend</t>
        </is>
      </c>
      <c r="D3" s="8" t="inlineStr">
        <is>
          <t>Baja</t>
        </is>
      </c>
      <c r="E3" s="8" t="inlineStr">
        <is>
          <t>P3 - Media</t>
        </is>
      </c>
      <c r="F3" s="8" t="inlineStr">
        <is>
          <t>Cada carga de la página lanza "Minified React error #418": el HTML del servidor no coincide con el del cliente. Hace fallar cualquier test E2E que no lo maneje.</t>
        </is>
      </c>
      <c r="G3" s="8" t="inlineStr">
        <is>
          <t>1. Abrir la home con DevTools &gt; Consola abiertas
2. Recargar</t>
        </is>
      </c>
      <c r="H3" s="8" t="inlineStr">
        <is>
          <t>Sin errores en consola</t>
        </is>
      </c>
      <c r="I3" s="8" t="inlineStr">
        <is>
          <t>Uncaught Error: Minified React error #418; args[]=HTML</t>
        </is>
      </c>
      <c r="J3" s="8" t="inlineStr">
        <is>
          <t>Adjuntar captura en la tarjeta de Trello</t>
        </is>
      </c>
    </row>
    <row r="4">
      <c r="A4" s="8" t="inlineStr">
        <is>
          <t>BUG-03</t>
        </is>
      </c>
      <c r="B4" s="8" t="inlineStr">
        <is>
          <t>Check availability muestra habitaciones ya reservadas</t>
        </is>
      </c>
      <c r="C4" s="8" t="inlineStr">
        <is>
          <t>Disponibilidad</t>
        </is>
      </c>
      <c r="D4" s="8" t="inlineStr">
        <is>
          <t>Alta</t>
        </is>
      </c>
      <c r="E4" s="8" t="inlineStr">
        <is>
          <t>P1 - Urgente</t>
        </is>
      </c>
      <c r="F4" s="8" t="inlineStr">
        <is>
          <t>La búsqueda de disponibilidad no excluye habitaciones con reservas en el rango; el usuario elige una habitación que luego falla al reservar.</t>
        </is>
      </c>
      <c r="G4" s="8" t="inlineStr">
        <is>
          <t>1. POST /api/booking roomid 1, 2027-03-10 a 2027-03-12 (201)
2. GET /api/room?checkin=2027-03-10&amp;checkout=2027-03-12</t>
        </is>
      </c>
      <c r="H4" s="8" t="inlineStr">
        <is>
          <t>La habitación 1 no aparece</t>
        </is>
      </c>
      <c r="I4" s="8" t="inlineStr">
        <is>
          <t>Aparecen las habitaciones 1, 2 y 3; reservar la 1 otra vez da 409</t>
        </is>
      </c>
      <c r="J4" s="8" t="inlineStr">
        <is>
          <t>Adjuntar captura en la tarjeta de Trello</t>
        </is>
      </c>
    </row>
    <row r="5">
      <c r="A5" s="8" t="inlineStr">
        <is>
          <t>BUG-04</t>
        </is>
      </c>
      <c r="B5" s="8" t="inlineStr">
        <is>
          <t>Se puede reservar una habitación inexistente</t>
        </is>
      </c>
      <c r="C5" s="8" t="inlineStr">
        <is>
          <t>Reservas (API)</t>
        </is>
      </c>
      <c r="D5" s="8" t="inlineStr">
        <is>
          <t>Alta</t>
        </is>
      </c>
      <c r="E5" s="8" t="inlineStr">
        <is>
          <t>P1 - Urgente</t>
        </is>
      </c>
      <c r="F5" s="8" t="inlineStr">
        <is>
          <t>El backend no valida que el roomid exista.</t>
        </is>
      </c>
      <c r="G5" s="8" t="inlineStr">
        <is>
          <t>1. POST /api/booking con roomid 999, fechas 2027-06-10 a 2027-06-12 y datos válidos</t>
        </is>
      </c>
      <c r="H5" s="8" t="inlineStr">
        <is>
          <t>400 o 404</t>
        </is>
      </c>
      <c r="I5" s="8" t="inlineStr">
        <is>
          <t>201 {"bookingid":6,...,"roomid":999}</t>
        </is>
      </c>
      <c r="J5" s="8" t="inlineStr">
        <is>
          <t>Adjuntar captura en la tarjeta de Trello</t>
        </is>
      </c>
    </row>
    <row r="6">
      <c r="A6" s="8" t="inlineStr">
        <is>
          <t>BUG-05</t>
        </is>
      </c>
      <c r="B6" s="8" t="inlineStr">
        <is>
          <t>Se aceptan reservas en fechas pasadas</t>
        </is>
      </c>
      <c r="C6" s="8" t="inlineStr">
        <is>
          <t>Reservas (API)</t>
        </is>
      </c>
      <c r="D6" s="8" t="inlineStr">
        <is>
          <t>Alta</t>
        </is>
      </c>
      <c r="E6" s="8" t="inlineStr">
        <is>
          <t>P2 - Alta</t>
        </is>
      </c>
      <c r="F6" s="8" t="inlineStr">
        <is>
          <t>El backend permite crear reservas con fechas anteriores a hoy.</t>
        </is>
      </c>
      <c r="G6" s="8" t="inlineStr">
        <is>
          <t>1. POST /api/booking roomid 2, checkin 2020-01-10, checkout 2020-01-12</t>
        </is>
      </c>
      <c r="H6" s="8" t="inlineStr">
        <is>
          <t>400 "fecha en el pasado"</t>
        </is>
      </c>
      <c r="I6" s="8" t="inlineStr">
        <is>
          <t>201: reserva creada</t>
        </is>
      </c>
      <c r="J6" s="8" t="inlineStr">
        <is>
          <t>Adjuntar captura en la tarjeta de Trello</t>
        </is>
      </c>
    </row>
    <row r="7">
      <c r="A7" s="8" t="inlineStr">
        <is>
          <t>BUG-06</t>
        </is>
      </c>
      <c r="B7" s="8" t="inlineStr">
        <is>
          <t>Fechas invertidas o iguales devuelven 409 en lugar de 400</t>
        </is>
      </c>
      <c r="C7" s="8" t="inlineStr">
        <is>
          <t>Reservas (API)</t>
        </is>
      </c>
      <c r="D7" s="8" t="inlineStr">
        <is>
          <t>Media</t>
        </is>
      </c>
      <c r="E7" s="8" t="inlineStr">
        <is>
          <t>P2 - Alta</t>
        </is>
      </c>
      <c r="F7" s="8" t="inlineStr">
        <is>
          <t>La validación de fechas responde con el mismo error que una reserva duplicada, así que el cliente no puede distinguir el motivo.</t>
        </is>
      </c>
      <c r="G7" s="8" t="inlineStr">
        <is>
          <t>1. POST /api/booking con checkin 2027-04-12 y checkout 2027-04-10
2. Repetir con checkin = checkout</t>
        </is>
      </c>
      <c r="H7" s="8" t="inlineStr">
        <is>
          <t>400 con mensaje de validación de fechas</t>
        </is>
      </c>
      <c r="I7" s="8" t="inlineStr">
        <is>
          <t>409 {"error":"Failed to create booking"}</t>
        </is>
      </c>
      <c r="J7" s="8" t="inlineStr">
        <is>
          <t>Adjuntar captura en la tarjeta de Trello</t>
        </is>
      </c>
    </row>
    <row r="8">
      <c r="A8" s="8" t="inlineStr">
        <is>
          <t>BUG-07</t>
        </is>
      </c>
      <c r="B8" s="8" t="inlineStr">
        <is>
          <t>Check availability acepta checkout anterior al checkin</t>
        </is>
      </c>
      <c r="C8" s="8" t="inlineStr">
        <is>
          <t>Home / Disponibilidad</t>
        </is>
      </c>
      <c r="D8" s="8" t="inlineStr">
        <is>
          <t>Media</t>
        </is>
      </c>
      <c r="E8" s="8" t="inlineStr">
        <is>
          <t>P2 - Alta</t>
        </is>
      </c>
      <c r="F8" s="8" t="inlineStr">
        <is>
          <t>La UI no valida el rango de fechas y genera enlaces de reserva con fechas invertidas.</t>
        </is>
      </c>
      <c r="G8" s="8" t="inlineStr">
        <is>
          <t>1. En la home, Check In 20/11/2026, Check Out 10/11/2026
2. Click "Check Availability"</t>
        </is>
      </c>
      <c r="H8" s="8" t="inlineStr">
        <is>
          <t>Mensaje de error y no se listan habitaciones</t>
        </is>
      </c>
      <c r="I8" s="8" t="inlineStr">
        <is>
          <t>Sin mensaje; los "Book now" apuntan a ?checkin=2026-11-20&amp;checkout=2026-11-10</t>
        </is>
      </c>
      <c r="J8" s="8" t="inlineStr">
        <is>
          <t>Adjuntar captura en la tarjeta de Trello</t>
        </is>
      </c>
    </row>
    <row r="9">
      <c r="A9" s="8" t="inlineStr">
        <is>
          <t>BUG-08</t>
        </is>
      </c>
      <c r="B9" s="8" t="inlineStr">
        <is>
          <t>Fechas no válidas en disponibilidad devuelven 500</t>
        </is>
      </c>
      <c r="C9" s="8" t="inlineStr">
        <is>
          <t>Disponibilidad (API)</t>
        </is>
      </c>
      <c r="D9" s="8" t="inlineStr">
        <is>
          <t>Media</t>
        </is>
      </c>
      <c r="E9" s="8" t="inlineStr">
        <is>
          <t>P3 - Media</t>
        </is>
      </c>
      <c r="F9" s="8" t="inlineStr">
        <is>
          <t>Parámetros de fecha no válidos provocan un error interno en lugar de una validación.</t>
        </is>
      </c>
      <c r="G9" s="8" t="inlineStr">
        <is>
          <t>1. GET /api/room?checkin=foo&amp;checkout=bar</t>
        </is>
      </c>
      <c r="H9" s="8" t="inlineStr">
        <is>
          <t>400 Bad Request</t>
        </is>
      </c>
      <c r="I9" s="8" t="inlineStr">
        <is>
          <t>500 Internal Server Error</t>
        </is>
      </c>
      <c r="J9" s="8" t="inlineStr">
        <is>
          <t>Adjuntar captura en la tarjeta de Trello</t>
        </is>
      </c>
    </row>
    <row r="10">
      <c r="A10" s="8" t="inlineStr">
        <is>
          <t>BUG-09</t>
        </is>
      </c>
      <c r="B10" s="8" t="inlineStr">
        <is>
          <t>Reserva sin bookingdates devuelve 500</t>
        </is>
      </c>
      <c r="C10" s="8" t="inlineStr">
        <is>
          <t>Reservas (API)</t>
        </is>
      </c>
      <c r="D10" s="8" t="inlineStr">
        <is>
          <t>Media</t>
        </is>
      </c>
      <c r="E10" s="8" t="inlineStr">
        <is>
          <t>P2 - Alta</t>
        </is>
      </c>
      <c r="F10" s="8" t="inlineStr">
        <is>
          <t>Falta validar que bookingdates sea obligatorio.</t>
        </is>
      </c>
      <c r="G10" s="8" t="inlineStr">
        <is>
          <t>1. POST /api/booking con datos válidos pero sin el objeto bookingdates</t>
        </is>
      </c>
      <c r="H10" s="8" t="inlineStr">
        <is>
          <t>400 "bookingdates es obligatorio"</t>
        </is>
      </c>
      <c r="I10" s="8" t="inlineStr">
        <is>
          <t>500 {"errors":["Failed to create booking"]}</t>
        </is>
      </c>
      <c r="J10" s="8" t="inlineStr">
        <is>
          <t>Adjuntar captura en la tarjeta de Trello</t>
        </is>
      </c>
    </row>
    <row r="11">
      <c r="A11" s="8" t="inlineStr">
        <is>
          <t>BUG-10</t>
        </is>
      </c>
      <c r="B11" s="8" t="inlineStr">
        <is>
          <t>El teléfono de la reserva acepta letras y el nombre acepta HTML</t>
        </is>
      </c>
      <c r="C11" s="8" t="inlineStr">
        <is>
          <t>Reservas (API)</t>
        </is>
      </c>
      <c r="D11" s="8" t="inlineStr">
        <is>
          <t>Media</t>
        </is>
      </c>
      <c r="E11" s="8" t="inlineStr">
        <is>
          <t>P2 - Alta</t>
        </is>
      </c>
      <c r="F11" s="8" t="inlineStr">
        <is>
          <t>Solo se valida la longitud del teléfono; el nombre con etiquetas HTML se guarda sin sanitizar.</t>
        </is>
      </c>
      <c r="G11" s="8" t="inlineStr">
        <is>
          <t>1. POST /api/booking con phone "abcdefghijkl" y firstname "&lt;b&gt;Ana&lt;/b&gt;"</t>
        </is>
      </c>
      <c r="H11" s="8" t="inlineStr">
        <is>
          <t>400 por formato de teléfono y nombre inválido</t>
        </is>
      </c>
      <c r="I11" s="8" t="inlineStr">
        <is>
          <t>201: reserva creada con esos valores</t>
        </is>
      </c>
      <c r="J11" s="8" t="inlineStr">
        <is>
          <t>Adjuntar captura en la tarjeta de Trello</t>
        </is>
      </c>
    </row>
    <row r="12">
      <c r="A12" s="8" t="inlineStr">
        <is>
          <t>BUG-11</t>
        </is>
      </c>
      <c r="B12" s="8" t="inlineStr">
        <is>
          <t>Los errores de validación de reserva no indican el campo</t>
        </is>
      </c>
      <c r="C12" s="8" t="inlineStr">
        <is>
          <t>Reservas (API)</t>
        </is>
      </c>
      <c r="D12" s="8" t="inlineStr">
        <is>
          <t>Baja</t>
        </is>
      </c>
      <c r="E12" s="8" t="inlineStr">
        <is>
          <t>P3 - Media</t>
        </is>
      </c>
      <c r="F12" s="8" t="inlineStr">
        <is>
          <t>Los mensajes no dicen a qué campo corresponden y llegan en orden variable.</t>
        </is>
      </c>
      <c r="G12" s="8" t="inlineStr">
        <is>
          <t>1. POST /api/booking con firstname "A" y lastname "B"</t>
        </is>
      </c>
      <c r="H12" s="8" t="inlineStr">
        <is>
          <t>Errores tipo "Firstname must be between 3 and 18 characters"</t>
        </is>
      </c>
      <c r="I12" s="8" t="inlineStr">
        <is>
          <t>400 {"errors":["size must be between 3 and 30","size must be between 3 and 18"]}</t>
        </is>
      </c>
      <c r="J12" s="8" t="inlineStr">
        <is>
          <t>Adjuntar captura en la tarjeta de Trello</t>
        </is>
      </c>
    </row>
    <row r="13">
      <c r="A13" s="8" t="inlineStr">
        <is>
          <t>BUG-12</t>
        </is>
      </c>
      <c r="B13" s="8" t="inlineStr">
        <is>
          <t>Contacto: nombre de 300 caracteres devuelve 500</t>
        </is>
      </c>
      <c r="C13" s="8" t="inlineStr">
        <is>
          <t>Contacto</t>
        </is>
      </c>
      <c r="D13" s="8" t="inlineStr">
        <is>
          <t>Alta</t>
        </is>
      </c>
      <c r="E13" s="8" t="inlineStr">
        <is>
          <t>P2 - Alta</t>
        </is>
      </c>
      <c r="F13" s="8" t="inlineStr">
        <is>
          <t>No hay validación de longitud máxima del nombre; la base de datos falla.</t>
        </is>
      </c>
      <c r="G13" s="8" t="inlineStr">
        <is>
          <t>1. En Contact, Name con 300 letras "A" y el resto válido
2. Submit</t>
        </is>
      </c>
      <c r="H13" s="8" t="inlineStr">
        <is>
          <t>400 con límite de longitud</t>
        </is>
      </c>
      <c r="I13" s="8" t="inlineStr">
        <is>
          <t>500 {"error":"Failed to create message"}</t>
        </is>
      </c>
      <c r="J13" s="8" t="inlineStr">
        <is>
          <t>Adjuntar captura en la tarjeta de Trello</t>
        </is>
      </c>
    </row>
    <row r="14">
      <c r="A14" s="8" t="inlineStr">
        <is>
          <t>BUG-13</t>
        </is>
      </c>
      <c r="B14" s="8" t="inlineStr">
        <is>
          <t>Contacto: el teléfono acepta letras</t>
        </is>
      </c>
      <c r="C14" s="8" t="inlineStr">
        <is>
          <t>Contacto</t>
        </is>
      </c>
      <c r="D14" s="8" t="inlineStr">
        <is>
          <t>Media</t>
        </is>
      </c>
      <c r="E14" s="8" t="inlineStr">
        <is>
          <t>P2 - Alta</t>
        </is>
      </c>
      <c r="F14" s="8" t="inlineStr">
        <is>
          <t>Solo se valida la longitud del teléfono.</t>
        </is>
      </c>
      <c r="G14" s="8" t="inlineStr">
        <is>
          <t>1. En Contact, Phone = abcdefghijk y el resto válido
2. Submit</t>
        </is>
      </c>
      <c r="H14" s="8" t="inlineStr">
        <is>
          <t>Error de formato de teléfono</t>
        </is>
      </c>
      <c r="I14" s="8" t="inlineStr">
        <is>
          <t>200 y mensaje "Thanks for getting in touch..."</t>
        </is>
      </c>
      <c r="J14" s="8" t="inlineStr">
        <is>
          <t>Adjuntar captura en la tarjeta de Trello</t>
        </is>
      </c>
    </row>
    <row r="15">
      <c r="A15" s="8" t="inlineStr">
        <is>
          <t>BUG-14</t>
        </is>
      </c>
      <c r="B15" s="8" t="inlineStr">
        <is>
          <t>Contacto: acepta email "a@b" y nombre de 1 carácter</t>
        </is>
      </c>
      <c r="C15" s="8" t="inlineStr">
        <is>
          <t>Contacto</t>
        </is>
      </c>
      <c r="D15" s="8" t="inlineStr">
        <is>
          <t>Baja</t>
        </is>
      </c>
      <c r="E15" s="8" t="inlineStr">
        <is>
          <t>P3 - Media</t>
        </is>
      </c>
      <c r="F15" s="8" t="inlineStr">
        <is>
          <t>Validación de email y de longitud mínima del nombre insuficiente.</t>
        </is>
      </c>
      <c r="G15" s="8" t="inlineStr">
        <is>
          <t>1. POST /api/message con name "A" y email "a@b" (resto válido)</t>
        </is>
      </c>
      <c r="H15" s="8" t="inlineStr">
        <is>
          <t>400 con errores de nombre y email</t>
        </is>
      </c>
      <c r="I15" s="8" t="inlineStr">
        <is>
          <t>200 {"success":true}</t>
        </is>
      </c>
      <c r="J15" s="8" t="inlineStr">
        <is>
          <t>Adjuntar captura en la tarjeta de Trello</t>
        </is>
      </c>
    </row>
    <row r="16">
      <c r="A16" s="8" t="inlineStr">
        <is>
          <t>BUG-15</t>
        </is>
      </c>
      <c r="B16" s="8" t="inlineStr">
        <is>
          <t>Navbar: "Amenities" no lleva a ninguna sección</t>
        </is>
      </c>
      <c r="C16" s="8" t="inlineStr">
        <is>
          <t>Navegación</t>
        </is>
      </c>
      <c r="D16" s="8" t="inlineStr">
        <is>
          <t>Baja</t>
        </is>
      </c>
      <c r="E16" s="8" t="inlineStr">
        <is>
          <t>P3 - Media</t>
        </is>
      </c>
      <c r="F16" s="8" t="inlineStr">
        <is>
          <t>El link apunta a /#amenities pero la sección no existe.</t>
        </is>
      </c>
      <c r="G16" s="8" t="inlineStr">
        <is>
          <t>1. En la home, click en "Amenities"</t>
        </is>
      </c>
      <c r="H16" s="8" t="inlineStr">
        <is>
          <t>Navega a la sección Amenities</t>
        </is>
      </c>
      <c r="I16" s="8" t="inlineStr">
        <is>
          <t>No ocurre nada; /amenities da 404</t>
        </is>
      </c>
      <c r="J16" s="8" t="inlineStr">
        <is>
          <t>Adjuntar captura en la tarjeta de Trello</t>
        </is>
      </c>
    </row>
    <row r="17">
      <c r="A17" s="8" t="inlineStr">
        <is>
          <t>BUG-16</t>
        </is>
      </c>
      <c r="B17" s="8" t="inlineStr">
        <is>
          <t>Footer: Quick Links e iconos sociales rotos</t>
        </is>
      </c>
      <c r="C17" s="8" t="inlineStr">
        <is>
          <t>Navegación</t>
        </is>
      </c>
      <c r="D17" s="8" t="inlineStr">
        <is>
          <t>Baja</t>
        </is>
      </c>
      <c r="E17" s="8" t="inlineStr">
        <is>
          <t>P4 - Baja</t>
        </is>
      </c>
      <c r="F17" s="8" t="inlineStr">
        <is>
          <t>Todos los enlaces del footer tienen href="#".</t>
        </is>
      </c>
      <c r="G17" s="8" t="inlineStr">
        <is>
          <t>1. En el footer, click en Home, Rooms, Booking, Contact y en los iconos sociales</t>
        </is>
      </c>
      <c r="H17" s="8" t="inlineStr">
        <is>
          <t>Cada link navega a su destino</t>
        </is>
      </c>
      <c r="I17" s="8" t="inlineStr">
        <is>
          <t>No navegan (href="#")</t>
        </is>
      </c>
      <c r="J17" s="8" t="inlineStr">
        <is>
          <t>Adjuntar captura en la tarjeta de Trello</t>
        </is>
      </c>
    </row>
  </sheetData>
  <autoFilter ref="A1:J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2026-10-30T01:43:23Z</dcterms:created>
  <dcterms:modified xsi:type="dcterms:W3CDTF">2026-10-30T01:43:23Z</dcterms:modified>
</cp:coreProperties>
</file>